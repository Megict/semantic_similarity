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semantic_similarity\"/>
    </mc:Choice>
  </mc:AlternateContent>
  <bookViews>
    <workbookView xWindow="0" yWindow="0" windowWidth="16380" windowHeight="8196" tabRatio="500"/>
  </bookViews>
  <sheets>
    <sheet name="Датасет 1" sheetId="1" r:id="rId1"/>
    <sheet name="Датасат 2" sheetId="2" r:id="rId2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4" i="2" l="1"/>
  <c r="H24" i="2"/>
  <c r="G24" i="2"/>
  <c r="F24" i="2"/>
  <c r="E24" i="2"/>
  <c r="D24" i="2"/>
  <c r="C24" i="2"/>
  <c r="J11" i="2"/>
  <c r="I11" i="2"/>
  <c r="H11" i="2"/>
  <c r="G11" i="2"/>
  <c r="F11" i="2"/>
  <c r="E11" i="2"/>
  <c r="D11" i="2"/>
  <c r="C11" i="2"/>
  <c r="L8" i="2"/>
  <c r="L7" i="2"/>
  <c r="L6" i="2"/>
  <c r="L5" i="2"/>
  <c r="L4" i="2"/>
  <c r="I24" i="1"/>
  <c r="H24" i="1"/>
  <c r="G24" i="1"/>
  <c r="F24" i="1"/>
  <c r="E24" i="1"/>
  <c r="D24" i="1"/>
  <c r="C24" i="1"/>
  <c r="K21" i="1"/>
  <c r="K20" i="1"/>
  <c r="K19" i="1"/>
  <c r="K18" i="1"/>
  <c r="K17" i="1"/>
  <c r="J11" i="1"/>
  <c r="I11" i="1"/>
  <c r="H11" i="1"/>
  <c r="G11" i="1"/>
  <c r="F11" i="1"/>
  <c r="E11" i="1"/>
  <c r="D11" i="1"/>
  <c r="C11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<sst xmlns="http://schemas.openxmlformats.org/spreadsheetml/2006/main" count="71" uniqueCount="23">
  <si>
    <t>Сегментация по предложениям</t>
  </si>
  <si>
    <t>Классификация</t>
  </si>
  <si>
    <t>5 на каждый (каждая строка попадает лишь раз)</t>
  </si>
  <si>
    <t>3 на каждый (множественное размещение)</t>
  </si>
  <si>
    <t>5 на каждый (множественное размещение)</t>
  </si>
  <si>
    <t>10 на каждый (множественное размещенеие)</t>
  </si>
  <si>
    <t>30 на каждый (множественное размещение)</t>
  </si>
  <si>
    <t>50 на каждый (множественное размещение)</t>
  </si>
  <si>
    <t>среднее</t>
  </si>
  <si>
    <t>Бинарная классификация</t>
  </si>
  <si>
    <t>Цель работы</t>
  </si>
  <si>
    <t>Область применения</t>
  </si>
  <si>
    <t>Результаты</t>
  </si>
  <si>
    <t>Алгоритмы</t>
  </si>
  <si>
    <t>Прочий текст</t>
  </si>
  <si>
    <t>Суммаризация</t>
  </si>
  <si>
    <t>Сегментация по графам</t>
  </si>
  <si>
    <t>1 на каждый (множественное размещение)</t>
  </si>
  <si>
    <t>сильно меньше сегментов (они больше)</t>
  </si>
  <si>
    <t>Среднее</t>
  </si>
  <si>
    <t>В каких случаях ошибки?</t>
  </si>
  <si>
    <t>Сравнить с только отдельные части ()</t>
  </si>
  <si>
    <t>Когда получается, когда нет выкинуть литературу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</si>
</sst>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CC0000"/>
      <name val="Arial"/>
      <family val="2"/>
      <charset val="204"/>
    </font>
    <font>
      <i/>
      <sz val="10"/>
      <color rgb="FF808080"/>
      <name val="Arial"/>
      <family val="2"/>
      <charset val="204"/>
    </font>
    <font>
      <sz val="10"/>
      <color rgb="FF006600"/>
      <name val="Arial"/>
      <family val="2"/>
      <charset val="204"/>
    </font>
    <font>
      <b/>
      <sz val="18"/>
      <color rgb="FF000000"/>
      <name val="Arial"/>
      <family val="2"/>
      <charset val="204"/>
    </font>
    <font>
      <b/>
      <sz val="24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u/>
      <sz val="10"/>
      <color rgb="FF0000EE"/>
      <name val="Arial"/>
      <family val="2"/>
      <charset val="204"/>
    </font>
    <font>
      <sz val="10"/>
      <color rgb="FF996600"/>
      <name val="Arial"/>
      <family val="2"/>
      <charset val="204"/>
    </font>
    <font>
      <sz val="10"/>
      <color rgb="FF333333"/>
      <name val="Arial"/>
      <family val="2"/>
      <charset val="204"/>
    </font>
    <font>
      <b/>
      <i/>
      <u/>
      <sz val="10"/>
      <color rgb="FF000000"/>
      <name val="Arial"/>
      <family val="2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9">
    <xf numFmtId="0" fontId="0" fillId="0" borderId="0"/>
    <xf numFmtId="0" fontId="1" fillId="2" borderId="0"/>
    <xf numFmtId="0" fontId="1" fillId="3" borderId="0"/>
    <xf numFmtId="0" fontId="2" fillId="4" borderId="0"/>
    <xf numFmtId="0" fontId="2" fillId="0" borderId="0"/>
    <xf numFmtId="0" fontId="3" fillId="5" borderId="0"/>
    <xf numFmtId="0" fontId="1" fillId="6" borderId="0"/>
    <xf numFmtId="0" fontId="4" fillId="0" borderId="0"/>
    <xf numFmtId="0" fontId="5" fillId="7" borderId="0"/>
    <xf numFmtId="0" fontId="6" fillId="0" borderId="0"/>
    <xf numFmtId="0" fontId="7" fillId="0" borderId="0"/>
    <xf numFmtId="0" fontId="8" fillId="0" borderId="0"/>
    <xf numFmtId="0" fontId="9" fillId="0" borderId="0"/>
    <xf numFmtId="0" fontId="10" fillId="8" borderId="0"/>
    <xf numFmtId="0" fontId="11" fillId="8" borderId="1"/>
    <xf numFmtId="0" fontId="12" fillId="0" borderId="0"/>
    <xf numFmtId="0" fontId="15" fillId="0" borderId="0"/>
    <xf numFmtId="0" fontId="15" fillId="0" borderId="0"/>
    <xf numFmtId="0" fontId="3" fillId="0" borderId="0"/>
  </cellStyleXfs>
  <cellXfs count="20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/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/>
    <xf numFmtId="0" fontId="0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wrapText="1"/>
    </xf>
    <xf numFmtId="0" fontId="14" fillId="0" borderId="2" xfId="0" applyFont="1" applyBorder="1"/>
    <xf numFmtId="0" fontId="1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16" fontId="13" fillId="0" borderId="0" xfId="0" applyNumberFormat="1" applyFont="1"/>
    <xf numFmtId="0" fontId="14" fillId="0" borderId="0" xfId="0" applyFont="1"/>
    <xf numFmtId="0" fontId="0" fillId="0" borderId="2" xfId="0" applyFont="1" applyBorder="1" applyAlignment="1">
      <alignment horizontal="center" vertical="center" wrapText="1"/>
    </xf>
  </cellXfs>
  <cellStyles count="19">
    <cellStyle name="Accent 1 5" xfId="1"/>
    <cellStyle name="Accent 2 6" xfId="2"/>
    <cellStyle name="Accent 3 7" xfId="3"/>
    <cellStyle name="Accent 4" xfId="4"/>
    <cellStyle name="Bad 8" xfId="5"/>
    <cellStyle name="Error 9" xfId="6"/>
    <cellStyle name="Footnote 10" xfId="7"/>
    <cellStyle name="Good 11" xfId="8"/>
    <cellStyle name="Heading 1 13" xfId="9"/>
    <cellStyle name="Heading 12" xfId="10"/>
    <cellStyle name="Heading 2 14" xfId="11"/>
    <cellStyle name="Hyperlink 15" xfId="12"/>
    <cellStyle name="Neutral 16" xfId="13"/>
    <cellStyle name="Note 17" xfId="14"/>
    <cellStyle name="Result 18" xfId="15"/>
    <cellStyle name="Status 19" xfId="16"/>
    <cellStyle name="Text 20" xfId="17"/>
    <cellStyle name="Warning 21" xfId="1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Классификатор</a:t>
            </a:r>
            <a:r>
              <a:rPr lang="ru-RU" baseline="0"/>
              <a:t> 1, по предложениям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7091114409420866E-2"/>
          <c:y val="0.10222428174235404"/>
          <c:w val="0.71763547527805027"/>
          <c:h val="0.74588116244505587"/>
        </c:manualLayout>
      </c:layout>
      <c:lineChart>
        <c:grouping val="standard"/>
        <c:varyColors val="0"/>
        <c:ser>
          <c:idx val="0"/>
          <c:order val="0"/>
          <c:tx>
            <c:strRef>
              <c:f>'Датасет 1'!$B$4</c:f>
              <c:strCache>
                <c:ptCount val="1"/>
                <c:pt idx="0">
                  <c:v>Цель работы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'Датасет 1'!$F$3:$J$3</c:f>
              <c:strCache>
                <c:ptCount val="5"/>
                <c:pt idx="0">
                  <c:v>3 на каждый (множественное размещение)</c:v>
                </c:pt>
                <c:pt idx="1">
                  <c:v>5 на каждый (множественное размещение)</c:v>
                </c:pt>
                <c:pt idx="2">
                  <c:v>10 на каждый (множественное размещенеие)</c:v>
                </c:pt>
                <c:pt idx="3">
                  <c:v>30 на каждый (множественное размещение)</c:v>
                </c:pt>
                <c:pt idx="4">
                  <c:v>50 на каждый (множественное размещение)</c:v>
                </c:pt>
              </c:strCache>
            </c:strRef>
          </c:cat>
          <c:val>
            <c:numRef>
              <c:f>'Датасет 1'!$F$4:$J$4</c:f>
              <c:numCache>
                <c:formatCode>General</c:formatCode>
                <c:ptCount val="5"/>
                <c:pt idx="0">
                  <c:v>0.39200000000000002</c:v>
                </c:pt>
                <c:pt idx="1">
                  <c:v>0.379</c:v>
                </c:pt>
                <c:pt idx="2">
                  <c:v>0.40300000000000002</c:v>
                </c:pt>
                <c:pt idx="3">
                  <c:v>0.40600000000000003</c:v>
                </c:pt>
                <c:pt idx="4">
                  <c:v>0.435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'Датасет 1'!$B$5</c:f>
              <c:strCache>
                <c:ptCount val="1"/>
                <c:pt idx="0">
                  <c:v>Область применения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'Датасет 1'!$F$3:$J$3</c:f>
              <c:strCache>
                <c:ptCount val="5"/>
                <c:pt idx="0">
                  <c:v>3 на каждый (множественное размещение)</c:v>
                </c:pt>
                <c:pt idx="1">
                  <c:v>5 на каждый (множественное размещение)</c:v>
                </c:pt>
                <c:pt idx="2">
                  <c:v>10 на каждый (множественное размещенеие)</c:v>
                </c:pt>
                <c:pt idx="3">
                  <c:v>30 на каждый (множественное размещение)</c:v>
                </c:pt>
                <c:pt idx="4">
                  <c:v>50 на каждый (множественное размещение)</c:v>
                </c:pt>
              </c:strCache>
            </c:strRef>
          </c:cat>
          <c:val>
            <c:numRef>
              <c:f>'Датасет 1'!$F$5:$J$5</c:f>
              <c:numCache>
                <c:formatCode>General</c:formatCode>
                <c:ptCount val="5"/>
                <c:pt idx="0">
                  <c:v>0.38800000000000001</c:v>
                </c:pt>
                <c:pt idx="1">
                  <c:v>0.40799999999999997</c:v>
                </c:pt>
                <c:pt idx="2">
                  <c:v>0.40400000000000003</c:v>
                </c:pt>
                <c:pt idx="3">
                  <c:v>0.36799999999999999</c:v>
                </c:pt>
                <c:pt idx="4">
                  <c:v>0.39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'Датасет 1'!$B$6</c:f>
              <c:strCache>
                <c:ptCount val="1"/>
                <c:pt idx="0">
                  <c:v>Результаты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'Датасет 1'!$F$3:$J$3</c:f>
              <c:strCache>
                <c:ptCount val="5"/>
                <c:pt idx="0">
                  <c:v>3 на каждый (множественное размещение)</c:v>
                </c:pt>
                <c:pt idx="1">
                  <c:v>5 на каждый (множественное размещение)</c:v>
                </c:pt>
                <c:pt idx="2">
                  <c:v>10 на каждый (множественное размещенеие)</c:v>
                </c:pt>
                <c:pt idx="3">
                  <c:v>30 на каждый (множественное размещение)</c:v>
                </c:pt>
                <c:pt idx="4">
                  <c:v>50 на каждый (множественное размещение)</c:v>
                </c:pt>
              </c:strCache>
            </c:strRef>
          </c:cat>
          <c:val>
            <c:numRef>
              <c:f>'Датасет 1'!$F$6:$J$6</c:f>
              <c:numCache>
                <c:formatCode>General</c:formatCode>
                <c:ptCount val="5"/>
                <c:pt idx="0">
                  <c:v>0.375</c:v>
                </c:pt>
                <c:pt idx="1">
                  <c:v>0.39100000000000001</c:v>
                </c:pt>
                <c:pt idx="2">
                  <c:v>0.39300000000000002</c:v>
                </c:pt>
                <c:pt idx="3">
                  <c:v>0.42</c:v>
                </c:pt>
                <c:pt idx="4">
                  <c:v>0.41799999999999998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'Датасет 1'!$B$7</c:f>
              <c:strCache>
                <c:ptCount val="1"/>
                <c:pt idx="0">
                  <c:v>Алгоритмы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'Датасет 1'!$F$3:$J$3</c:f>
              <c:strCache>
                <c:ptCount val="5"/>
                <c:pt idx="0">
                  <c:v>3 на каждый (множественное размещение)</c:v>
                </c:pt>
                <c:pt idx="1">
                  <c:v>5 на каждый (множественное размещение)</c:v>
                </c:pt>
                <c:pt idx="2">
                  <c:v>10 на каждый (множественное размещенеие)</c:v>
                </c:pt>
                <c:pt idx="3">
                  <c:v>30 на каждый (множественное размещение)</c:v>
                </c:pt>
                <c:pt idx="4">
                  <c:v>50 на каждый (множественное размещение)</c:v>
                </c:pt>
              </c:strCache>
            </c:strRef>
          </c:cat>
          <c:val>
            <c:numRef>
              <c:f>'Датасет 1'!$F$7:$J$7</c:f>
              <c:numCache>
                <c:formatCode>General</c:formatCode>
                <c:ptCount val="5"/>
                <c:pt idx="0">
                  <c:v>0.375</c:v>
                </c:pt>
                <c:pt idx="1">
                  <c:v>0.38100000000000001</c:v>
                </c:pt>
                <c:pt idx="2">
                  <c:v>0.39800000000000002</c:v>
                </c:pt>
                <c:pt idx="3">
                  <c:v>0.42799999999999999</c:v>
                </c:pt>
                <c:pt idx="4">
                  <c:v>0.43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'Датасет 1'!$B$8</c:f>
              <c:strCache>
                <c:ptCount val="1"/>
                <c:pt idx="0">
                  <c:v>Прочий текст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'Датасет 1'!$F$3:$J$3</c:f>
              <c:strCache>
                <c:ptCount val="5"/>
                <c:pt idx="0">
                  <c:v>3 на каждый (множественное размещение)</c:v>
                </c:pt>
                <c:pt idx="1">
                  <c:v>5 на каждый (множественное размещение)</c:v>
                </c:pt>
                <c:pt idx="2">
                  <c:v>10 на каждый (множественное размещенеие)</c:v>
                </c:pt>
                <c:pt idx="3">
                  <c:v>30 на каждый (множественное размещение)</c:v>
                </c:pt>
                <c:pt idx="4">
                  <c:v>50 на каждый (множественное размещение)</c:v>
                </c:pt>
              </c:strCache>
            </c:strRef>
          </c:cat>
          <c:val>
            <c:numRef>
              <c:f>'Датасет 1'!$F$8:$J$8</c:f>
              <c:numCache>
                <c:formatCode>General</c:formatCode>
                <c:ptCount val="5"/>
                <c:pt idx="0">
                  <c:v>0.29099999999999998</c:v>
                </c:pt>
                <c:pt idx="1">
                  <c:v>0.313</c:v>
                </c:pt>
                <c:pt idx="2">
                  <c:v>0.316</c:v>
                </c:pt>
                <c:pt idx="3">
                  <c:v>0.318</c:v>
                </c:pt>
                <c:pt idx="4">
                  <c:v>0.33800000000000002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'Датасет 1'!$B$11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'Датасет 1'!$F$3:$J$3</c:f>
              <c:strCache>
                <c:ptCount val="5"/>
                <c:pt idx="0">
                  <c:v>3 на каждый (множественное размещение)</c:v>
                </c:pt>
                <c:pt idx="1">
                  <c:v>5 на каждый (множественное размещение)</c:v>
                </c:pt>
                <c:pt idx="2">
                  <c:v>10 на каждый (множественное размещенеие)</c:v>
                </c:pt>
                <c:pt idx="3">
                  <c:v>30 на каждый (множественное размещение)</c:v>
                </c:pt>
                <c:pt idx="4">
                  <c:v>50 на каждый (множественное размещение)</c:v>
                </c:pt>
              </c:strCache>
            </c:strRef>
          </c:cat>
          <c:val>
            <c:numRef>
              <c:f>'Датасет 1'!$F$11:$J$11</c:f>
              <c:numCache>
                <c:formatCode>General</c:formatCode>
                <c:ptCount val="5"/>
                <c:pt idx="0">
                  <c:v>0.36419999999999997</c:v>
                </c:pt>
                <c:pt idx="1">
                  <c:v>0.37439999999999996</c:v>
                </c:pt>
                <c:pt idx="2">
                  <c:v>0.38280000000000008</c:v>
                </c:pt>
                <c:pt idx="3">
                  <c:v>0.38800000000000001</c:v>
                </c:pt>
                <c:pt idx="4">
                  <c:v>0.40219999999999995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946440"/>
        <c:axId val="500948008"/>
      </c:lineChart>
      <c:catAx>
        <c:axId val="500946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0948008"/>
        <c:crosses val="autoZero"/>
        <c:auto val="1"/>
        <c:lblAlgn val="ctr"/>
        <c:lblOffset val="100"/>
        <c:noMultiLvlLbl val="0"/>
      </c:catAx>
      <c:valAx>
        <c:axId val="500948008"/>
        <c:scaling>
          <c:orientation val="minMax"/>
          <c:min val="0.29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0946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Классификатор</a:t>
            </a:r>
            <a:r>
              <a:rPr lang="ru-RU" baseline="0"/>
              <a:t> 1, по сегментам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'Датасет 1'!$B$17</c:f>
              <c:strCache>
                <c:ptCount val="1"/>
                <c:pt idx="0">
                  <c:v>Цель работы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'Датасет 1'!$E$16:$I$16</c:f>
              <c:strCache>
                <c:ptCount val="5"/>
                <c:pt idx="0">
                  <c:v>1 на каждый (множественное размещение)</c:v>
                </c:pt>
                <c:pt idx="1">
                  <c:v>3 на каждый (множественное размещение)</c:v>
                </c:pt>
                <c:pt idx="2">
                  <c:v>5 на каждый (множественное размещение)</c:v>
                </c:pt>
                <c:pt idx="3">
                  <c:v>10 на каждый (множественное размещенеие)</c:v>
                </c:pt>
                <c:pt idx="4">
                  <c:v>30 на каждый (множественное размещение)</c:v>
                </c:pt>
              </c:strCache>
            </c:strRef>
          </c:cat>
          <c:val>
            <c:numRef>
              <c:f>'Датасет 1'!$E$17:$I$17</c:f>
              <c:numCache>
                <c:formatCode>General</c:formatCode>
                <c:ptCount val="5"/>
                <c:pt idx="0">
                  <c:v>0.373</c:v>
                </c:pt>
                <c:pt idx="1">
                  <c:v>0.39900000000000002</c:v>
                </c:pt>
                <c:pt idx="2">
                  <c:v>0.39900000000000002</c:v>
                </c:pt>
                <c:pt idx="3">
                  <c:v>0.40200000000000002</c:v>
                </c:pt>
                <c:pt idx="4">
                  <c:v>0.39900000000000002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'Датасет 1'!$B$18</c:f>
              <c:strCache>
                <c:ptCount val="1"/>
                <c:pt idx="0">
                  <c:v>Область применения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'Датасет 1'!$E$16:$I$16</c:f>
              <c:strCache>
                <c:ptCount val="5"/>
                <c:pt idx="0">
                  <c:v>1 на каждый (множественное размещение)</c:v>
                </c:pt>
                <c:pt idx="1">
                  <c:v>3 на каждый (множественное размещение)</c:v>
                </c:pt>
                <c:pt idx="2">
                  <c:v>5 на каждый (множественное размещение)</c:v>
                </c:pt>
                <c:pt idx="3">
                  <c:v>10 на каждый (множественное размещенеие)</c:v>
                </c:pt>
                <c:pt idx="4">
                  <c:v>30 на каждый (множественное размещение)</c:v>
                </c:pt>
              </c:strCache>
            </c:strRef>
          </c:cat>
          <c:val>
            <c:numRef>
              <c:f>'Датасет 1'!$E$18:$I$18</c:f>
              <c:numCache>
                <c:formatCode>General</c:formatCode>
                <c:ptCount val="5"/>
                <c:pt idx="0">
                  <c:v>0.38100000000000001</c:v>
                </c:pt>
                <c:pt idx="1">
                  <c:v>0.39300000000000002</c:v>
                </c:pt>
                <c:pt idx="2">
                  <c:v>0.42199999999999999</c:v>
                </c:pt>
                <c:pt idx="3">
                  <c:v>0.42299999999999999</c:v>
                </c:pt>
                <c:pt idx="4">
                  <c:v>0.40600000000000003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'Датасет 1'!$B$19</c:f>
              <c:strCache>
                <c:ptCount val="1"/>
                <c:pt idx="0">
                  <c:v>Результаты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'Датасет 1'!$E$16:$I$16</c:f>
              <c:strCache>
                <c:ptCount val="5"/>
                <c:pt idx="0">
                  <c:v>1 на каждый (множественное размещение)</c:v>
                </c:pt>
                <c:pt idx="1">
                  <c:v>3 на каждый (множественное размещение)</c:v>
                </c:pt>
                <c:pt idx="2">
                  <c:v>5 на каждый (множественное размещение)</c:v>
                </c:pt>
                <c:pt idx="3">
                  <c:v>10 на каждый (множественное размещенеие)</c:v>
                </c:pt>
                <c:pt idx="4">
                  <c:v>30 на каждый (множественное размещение)</c:v>
                </c:pt>
              </c:strCache>
            </c:strRef>
          </c:cat>
          <c:val>
            <c:numRef>
              <c:f>'Датасет 1'!$E$19:$I$19</c:f>
              <c:numCache>
                <c:formatCode>General</c:formatCode>
                <c:ptCount val="5"/>
                <c:pt idx="0">
                  <c:v>0.372</c:v>
                </c:pt>
                <c:pt idx="1">
                  <c:v>0.42299999999999999</c:v>
                </c:pt>
                <c:pt idx="2">
                  <c:v>0.41699999999999998</c:v>
                </c:pt>
                <c:pt idx="3">
                  <c:v>0.41399999999999998</c:v>
                </c:pt>
                <c:pt idx="4">
                  <c:v>0.40400000000000003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'Датасет 1'!$B$20</c:f>
              <c:strCache>
                <c:ptCount val="1"/>
                <c:pt idx="0">
                  <c:v>Алгоритмы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'Датасет 1'!$E$16:$I$16</c:f>
              <c:strCache>
                <c:ptCount val="5"/>
                <c:pt idx="0">
                  <c:v>1 на каждый (множественное размещение)</c:v>
                </c:pt>
                <c:pt idx="1">
                  <c:v>3 на каждый (множественное размещение)</c:v>
                </c:pt>
                <c:pt idx="2">
                  <c:v>5 на каждый (множественное размещение)</c:v>
                </c:pt>
                <c:pt idx="3">
                  <c:v>10 на каждый (множественное размещенеие)</c:v>
                </c:pt>
                <c:pt idx="4">
                  <c:v>30 на каждый (множественное размещение)</c:v>
                </c:pt>
              </c:strCache>
            </c:strRef>
          </c:cat>
          <c:val>
            <c:numRef>
              <c:f>'Датасет 1'!$E$20:$I$20</c:f>
              <c:numCache>
                <c:formatCode>General</c:formatCode>
                <c:ptCount val="5"/>
                <c:pt idx="0">
                  <c:v>0.371</c:v>
                </c:pt>
                <c:pt idx="1">
                  <c:v>0.39400000000000002</c:v>
                </c:pt>
                <c:pt idx="2">
                  <c:v>0.40300000000000002</c:v>
                </c:pt>
                <c:pt idx="3">
                  <c:v>0.41</c:v>
                </c:pt>
                <c:pt idx="4">
                  <c:v>0.40200000000000002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'Датасет 1'!$B$21</c:f>
              <c:strCache>
                <c:ptCount val="1"/>
                <c:pt idx="0">
                  <c:v>Прочий текст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'Датасет 1'!$E$16:$I$16</c:f>
              <c:strCache>
                <c:ptCount val="5"/>
                <c:pt idx="0">
                  <c:v>1 на каждый (множественное размещение)</c:v>
                </c:pt>
                <c:pt idx="1">
                  <c:v>3 на каждый (множественное размещение)</c:v>
                </c:pt>
                <c:pt idx="2">
                  <c:v>5 на каждый (множественное размещение)</c:v>
                </c:pt>
                <c:pt idx="3">
                  <c:v>10 на каждый (множественное размещенеие)</c:v>
                </c:pt>
                <c:pt idx="4">
                  <c:v>30 на каждый (множественное размещение)</c:v>
                </c:pt>
              </c:strCache>
            </c:strRef>
          </c:cat>
          <c:val>
            <c:numRef>
              <c:f>'Датасет 1'!$E$21:$I$21</c:f>
              <c:numCache>
                <c:formatCode>General</c:formatCode>
                <c:ptCount val="5"/>
                <c:pt idx="0">
                  <c:v>0.29099999999999998</c:v>
                </c:pt>
                <c:pt idx="1">
                  <c:v>0.36</c:v>
                </c:pt>
                <c:pt idx="2">
                  <c:v>0.36499999999999999</c:v>
                </c:pt>
                <c:pt idx="3">
                  <c:v>0.40200000000000002</c:v>
                </c:pt>
                <c:pt idx="4">
                  <c:v>0.39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'Датасет 1'!$B$24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'Датасет 1'!$E$24:$I$24</c:f>
              <c:numCache>
                <c:formatCode>General</c:formatCode>
                <c:ptCount val="5"/>
                <c:pt idx="0">
                  <c:v>0.35759999999999997</c:v>
                </c:pt>
                <c:pt idx="1">
                  <c:v>0.39379999999999998</c:v>
                </c:pt>
                <c:pt idx="2">
                  <c:v>0.40120000000000006</c:v>
                </c:pt>
                <c:pt idx="3">
                  <c:v>0.41019999999999995</c:v>
                </c:pt>
                <c:pt idx="4">
                  <c:v>0.40020000000000006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58864"/>
        <c:axId val="140962784"/>
      </c:lineChart>
      <c:catAx>
        <c:axId val="14095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62784"/>
        <c:crosses val="autoZero"/>
        <c:auto val="1"/>
        <c:lblAlgn val="ctr"/>
        <c:lblOffset val="100"/>
        <c:noMultiLvlLbl val="0"/>
      </c:catAx>
      <c:valAx>
        <c:axId val="140962784"/>
        <c:scaling>
          <c:orientation val="minMax"/>
          <c:min val="0.29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5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классификатор</a:t>
            </a:r>
            <a:r>
              <a:rPr lang="ru-RU" baseline="0"/>
              <a:t> 2, по сегментам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'Датасат 2'!$B$17</c:f>
              <c:strCache>
                <c:ptCount val="1"/>
                <c:pt idx="0">
                  <c:v>Цель работы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'Датасат 2'!$E$16:$I$16</c:f>
              <c:strCache>
                <c:ptCount val="5"/>
                <c:pt idx="0">
                  <c:v>1 на каждый (множественное размещение)</c:v>
                </c:pt>
                <c:pt idx="1">
                  <c:v>3 на каждый (множественное размещение)</c:v>
                </c:pt>
                <c:pt idx="2">
                  <c:v>5 на каждый (множественное размещение)</c:v>
                </c:pt>
                <c:pt idx="3">
                  <c:v>10 на каждый (множественное размещенеие)</c:v>
                </c:pt>
                <c:pt idx="4">
                  <c:v>30 на каждый (множественное размещение)</c:v>
                </c:pt>
              </c:strCache>
            </c:strRef>
          </c:cat>
          <c:val>
            <c:numRef>
              <c:f>'Датасат 2'!$E$17:$I$17</c:f>
              <c:numCache>
                <c:formatCode>General</c:formatCode>
                <c:ptCount val="5"/>
                <c:pt idx="0">
                  <c:v>0.373</c:v>
                </c:pt>
                <c:pt idx="1">
                  <c:v>0.40899999999999997</c:v>
                </c:pt>
                <c:pt idx="2">
                  <c:v>0.41599999999999998</c:v>
                </c:pt>
                <c:pt idx="3">
                  <c:v>0.39100000000000001</c:v>
                </c:pt>
                <c:pt idx="4">
                  <c:v>0.39400000000000002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'Датасат 2'!$B$18</c:f>
              <c:strCache>
                <c:ptCount val="1"/>
                <c:pt idx="0">
                  <c:v>Область применения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'Датасат 2'!$E$16:$I$16</c:f>
              <c:strCache>
                <c:ptCount val="5"/>
                <c:pt idx="0">
                  <c:v>1 на каждый (множественное размещение)</c:v>
                </c:pt>
                <c:pt idx="1">
                  <c:v>3 на каждый (множественное размещение)</c:v>
                </c:pt>
                <c:pt idx="2">
                  <c:v>5 на каждый (множественное размещение)</c:v>
                </c:pt>
                <c:pt idx="3">
                  <c:v>10 на каждый (множественное размещенеие)</c:v>
                </c:pt>
                <c:pt idx="4">
                  <c:v>30 на каждый (множественное размещение)</c:v>
                </c:pt>
              </c:strCache>
            </c:strRef>
          </c:cat>
          <c:val>
            <c:numRef>
              <c:f>'Датасат 2'!$E$18:$I$18</c:f>
              <c:numCache>
                <c:formatCode>General</c:formatCode>
                <c:ptCount val="5"/>
                <c:pt idx="0">
                  <c:v>0.36199999999999999</c:v>
                </c:pt>
                <c:pt idx="1">
                  <c:v>0.40200000000000002</c:v>
                </c:pt>
                <c:pt idx="2">
                  <c:v>0.41699999999999998</c:v>
                </c:pt>
                <c:pt idx="3">
                  <c:v>0.40799999999999997</c:v>
                </c:pt>
                <c:pt idx="4">
                  <c:v>0.39600000000000002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'Датасат 2'!$B$19</c:f>
              <c:strCache>
                <c:ptCount val="1"/>
                <c:pt idx="0">
                  <c:v>Результаты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'Датасат 2'!$E$16:$I$16</c:f>
              <c:strCache>
                <c:ptCount val="5"/>
                <c:pt idx="0">
                  <c:v>1 на каждый (множественное размещение)</c:v>
                </c:pt>
                <c:pt idx="1">
                  <c:v>3 на каждый (множественное размещение)</c:v>
                </c:pt>
                <c:pt idx="2">
                  <c:v>5 на каждый (множественное размещение)</c:v>
                </c:pt>
                <c:pt idx="3">
                  <c:v>10 на каждый (множественное размещенеие)</c:v>
                </c:pt>
                <c:pt idx="4">
                  <c:v>30 на каждый (множественное размещение)</c:v>
                </c:pt>
              </c:strCache>
            </c:strRef>
          </c:cat>
          <c:val>
            <c:numRef>
              <c:f>'Датасат 2'!$E$19:$I$19</c:f>
              <c:numCache>
                <c:formatCode>General</c:formatCode>
                <c:ptCount val="5"/>
                <c:pt idx="0">
                  <c:v>0.36499999999999999</c:v>
                </c:pt>
                <c:pt idx="1">
                  <c:v>0.39200000000000002</c:v>
                </c:pt>
                <c:pt idx="2">
                  <c:v>0.39600000000000002</c:v>
                </c:pt>
                <c:pt idx="3">
                  <c:v>0.39500000000000002</c:v>
                </c:pt>
                <c:pt idx="4">
                  <c:v>0.39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'Датасат 2'!$B$20</c:f>
              <c:strCache>
                <c:ptCount val="1"/>
                <c:pt idx="0">
                  <c:v>Алгоритмы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'Датасат 2'!$E$16:$I$16</c:f>
              <c:strCache>
                <c:ptCount val="5"/>
                <c:pt idx="0">
                  <c:v>1 на каждый (множественное размещение)</c:v>
                </c:pt>
                <c:pt idx="1">
                  <c:v>3 на каждый (множественное размещение)</c:v>
                </c:pt>
                <c:pt idx="2">
                  <c:v>5 на каждый (множественное размещение)</c:v>
                </c:pt>
                <c:pt idx="3">
                  <c:v>10 на каждый (множественное размещенеие)</c:v>
                </c:pt>
                <c:pt idx="4">
                  <c:v>30 на каждый (множественное размещение)</c:v>
                </c:pt>
              </c:strCache>
            </c:strRef>
          </c:cat>
          <c:val>
            <c:numRef>
              <c:f>'Датасат 2'!$E$20:$I$20</c:f>
              <c:numCache>
                <c:formatCode>General</c:formatCode>
                <c:ptCount val="5"/>
                <c:pt idx="0">
                  <c:v>0.35199999999999998</c:v>
                </c:pt>
                <c:pt idx="1">
                  <c:v>0.40600000000000003</c:v>
                </c:pt>
                <c:pt idx="2">
                  <c:v>0.41</c:v>
                </c:pt>
                <c:pt idx="3">
                  <c:v>0.39900000000000002</c:v>
                </c:pt>
                <c:pt idx="4">
                  <c:v>0.40699999999999997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'Датасат 2'!$B$21</c:f>
              <c:strCache>
                <c:ptCount val="1"/>
                <c:pt idx="0">
                  <c:v>Прочий текст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'Датасат 2'!$E$16:$I$16</c:f>
              <c:strCache>
                <c:ptCount val="5"/>
                <c:pt idx="0">
                  <c:v>1 на каждый (множественное размещение)</c:v>
                </c:pt>
                <c:pt idx="1">
                  <c:v>3 на каждый (множественное размещение)</c:v>
                </c:pt>
                <c:pt idx="2">
                  <c:v>5 на каждый (множественное размещение)</c:v>
                </c:pt>
                <c:pt idx="3">
                  <c:v>10 на каждый (множественное размещенеие)</c:v>
                </c:pt>
                <c:pt idx="4">
                  <c:v>30 на каждый (множественное размещение)</c:v>
                </c:pt>
              </c:strCache>
            </c:strRef>
          </c:cat>
          <c:val>
            <c:numRef>
              <c:f>'Датасат 2'!$E$21:$I$21</c:f>
              <c:numCache>
                <c:formatCode>General</c:formatCode>
                <c:ptCount val="5"/>
                <c:pt idx="0">
                  <c:v>0.309</c:v>
                </c:pt>
                <c:pt idx="1">
                  <c:v>0.38500000000000001</c:v>
                </c:pt>
                <c:pt idx="2">
                  <c:v>0.39800000000000002</c:v>
                </c:pt>
                <c:pt idx="3">
                  <c:v>0.40699999999999997</c:v>
                </c:pt>
                <c:pt idx="4">
                  <c:v>0.39300000000000002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'Датасат 2'!$B$24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'Датасат 2'!$E$24:$I$24</c:f>
              <c:numCache>
                <c:formatCode>General</c:formatCode>
                <c:ptCount val="5"/>
                <c:pt idx="0">
                  <c:v>0.35219999999999996</c:v>
                </c:pt>
                <c:pt idx="1">
                  <c:v>0.39879999999999999</c:v>
                </c:pt>
                <c:pt idx="2">
                  <c:v>0.40739999999999998</c:v>
                </c:pt>
                <c:pt idx="3">
                  <c:v>0.4</c:v>
                </c:pt>
                <c:pt idx="4">
                  <c:v>0.39600000000000002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273216"/>
        <c:axId val="509270864"/>
      </c:lineChart>
      <c:catAx>
        <c:axId val="50927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9270864"/>
        <c:crosses val="autoZero"/>
        <c:auto val="1"/>
        <c:lblAlgn val="ctr"/>
        <c:lblOffset val="100"/>
        <c:noMultiLvlLbl val="0"/>
      </c:catAx>
      <c:valAx>
        <c:axId val="509270864"/>
        <c:scaling>
          <c:orientation val="minMax"/>
          <c:min val="0.29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927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Классификатор 1, по предложениям</a:t>
            </a:r>
            <a:endParaRPr lang="ru-RU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0886499074910718E-2"/>
          <c:y val="0.10121252108679785"/>
          <c:w val="0.92862169764640079"/>
          <c:h val="0.76624227220216257"/>
        </c:manualLayout>
      </c:layout>
      <c:lineChart>
        <c:grouping val="standard"/>
        <c:varyColors val="0"/>
        <c:ser>
          <c:idx val="0"/>
          <c:order val="0"/>
          <c:tx>
            <c:strRef>
              <c:f>'Датасат 2'!$B$4</c:f>
              <c:strCache>
                <c:ptCount val="1"/>
                <c:pt idx="0">
                  <c:v>Цель работы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'Датасат 2'!$G$3:$J$3</c:f>
              <c:strCache>
                <c:ptCount val="4"/>
                <c:pt idx="0">
                  <c:v>5 на каждый (множественное размещение)</c:v>
                </c:pt>
                <c:pt idx="1">
                  <c:v>10 на каждый (множественное размещенеие)</c:v>
                </c:pt>
                <c:pt idx="2">
                  <c:v>30 на каждый (множественное размещение)</c:v>
                </c:pt>
                <c:pt idx="3">
                  <c:v>50 на каждый (множественное размещение)</c:v>
                </c:pt>
              </c:strCache>
            </c:strRef>
          </c:cat>
          <c:val>
            <c:numRef>
              <c:f>'Датасат 2'!$G$4:$J$4</c:f>
              <c:numCache>
                <c:formatCode>General</c:formatCode>
                <c:ptCount val="4"/>
                <c:pt idx="0">
                  <c:v>0.39800000000000002</c:v>
                </c:pt>
                <c:pt idx="1">
                  <c:v>0.41599999999999998</c:v>
                </c:pt>
                <c:pt idx="2">
                  <c:v>0.42799999999999999</c:v>
                </c:pt>
                <c:pt idx="3">
                  <c:v>0.41399999999999998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'Датасат 2'!$B$5</c:f>
              <c:strCache>
                <c:ptCount val="1"/>
                <c:pt idx="0">
                  <c:v>Область применения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'Датасат 2'!$G$3:$J$3</c:f>
              <c:strCache>
                <c:ptCount val="4"/>
                <c:pt idx="0">
                  <c:v>5 на каждый (множественное размещение)</c:v>
                </c:pt>
                <c:pt idx="1">
                  <c:v>10 на каждый (множественное размещенеие)</c:v>
                </c:pt>
                <c:pt idx="2">
                  <c:v>30 на каждый (множественное размещение)</c:v>
                </c:pt>
                <c:pt idx="3">
                  <c:v>50 на каждый (множественное размещение)</c:v>
                </c:pt>
              </c:strCache>
            </c:strRef>
          </c:cat>
          <c:val>
            <c:numRef>
              <c:f>'Датасат 2'!$G$5:$J$5</c:f>
              <c:numCache>
                <c:formatCode>General</c:formatCode>
                <c:ptCount val="4"/>
                <c:pt idx="0">
                  <c:v>0.40300000000000002</c:v>
                </c:pt>
                <c:pt idx="1">
                  <c:v>0.42</c:v>
                </c:pt>
                <c:pt idx="2">
                  <c:v>0.375</c:v>
                </c:pt>
                <c:pt idx="3">
                  <c:v>0.38600000000000001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'Датасат 2'!$B$6</c:f>
              <c:strCache>
                <c:ptCount val="1"/>
                <c:pt idx="0">
                  <c:v>Результаты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'Датасат 2'!$G$3:$J$3</c:f>
              <c:strCache>
                <c:ptCount val="4"/>
                <c:pt idx="0">
                  <c:v>5 на каждый (множественное размещение)</c:v>
                </c:pt>
                <c:pt idx="1">
                  <c:v>10 на каждый (множественное размещенеие)</c:v>
                </c:pt>
                <c:pt idx="2">
                  <c:v>30 на каждый (множественное размещение)</c:v>
                </c:pt>
                <c:pt idx="3">
                  <c:v>50 на каждый (множественное размещение)</c:v>
                </c:pt>
              </c:strCache>
            </c:strRef>
          </c:cat>
          <c:val>
            <c:numRef>
              <c:f>'Датасат 2'!$G$6:$J$6</c:f>
              <c:numCache>
                <c:formatCode>General</c:formatCode>
                <c:ptCount val="4"/>
                <c:pt idx="0">
                  <c:v>0.37</c:v>
                </c:pt>
                <c:pt idx="1">
                  <c:v>0.374</c:v>
                </c:pt>
                <c:pt idx="2">
                  <c:v>0.374</c:v>
                </c:pt>
                <c:pt idx="3">
                  <c:v>0.373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'Датасат 2'!$B$7</c:f>
              <c:strCache>
                <c:ptCount val="1"/>
                <c:pt idx="0">
                  <c:v>Алгоритмы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'Датасат 2'!$G$3:$J$3</c:f>
              <c:strCache>
                <c:ptCount val="4"/>
                <c:pt idx="0">
                  <c:v>5 на каждый (множественное размещение)</c:v>
                </c:pt>
                <c:pt idx="1">
                  <c:v>10 на каждый (множественное размещенеие)</c:v>
                </c:pt>
                <c:pt idx="2">
                  <c:v>30 на каждый (множественное размещение)</c:v>
                </c:pt>
                <c:pt idx="3">
                  <c:v>50 на каждый (множественное размещение)</c:v>
                </c:pt>
              </c:strCache>
            </c:strRef>
          </c:cat>
          <c:val>
            <c:numRef>
              <c:f>'Датасат 2'!$G$7:$J$7</c:f>
              <c:numCache>
                <c:formatCode>General</c:formatCode>
                <c:ptCount val="4"/>
                <c:pt idx="0">
                  <c:v>0.376</c:v>
                </c:pt>
                <c:pt idx="1">
                  <c:v>0.377</c:v>
                </c:pt>
                <c:pt idx="2">
                  <c:v>0.41</c:v>
                </c:pt>
                <c:pt idx="3">
                  <c:v>0.39400000000000002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'Датасат 2'!$B$8</c:f>
              <c:strCache>
                <c:ptCount val="1"/>
                <c:pt idx="0">
                  <c:v>Прочий текст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'Датасат 2'!$G$3:$J$3</c:f>
              <c:strCache>
                <c:ptCount val="4"/>
                <c:pt idx="0">
                  <c:v>5 на каждый (множественное размещение)</c:v>
                </c:pt>
                <c:pt idx="1">
                  <c:v>10 на каждый (множественное размещенеие)</c:v>
                </c:pt>
                <c:pt idx="2">
                  <c:v>30 на каждый (множественное размещение)</c:v>
                </c:pt>
                <c:pt idx="3">
                  <c:v>50 на каждый (множественное размещение)</c:v>
                </c:pt>
              </c:strCache>
            </c:strRef>
          </c:cat>
          <c:val>
            <c:numRef>
              <c:f>'Датасат 2'!$G$8:$J$8</c:f>
              <c:numCache>
                <c:formatCode>General</c:formatCode>
                <c:ptCount val="4"/>
                <c:pt idx="0">
                  <c:v>0.29199999999999998</c:v>
                </c:pt>
                <c:pt idx="1">
                  <c:v>0.29099999999999998</c:v>
                </c:pt>
                <c:pt idx="2">
                  <c:v>0.318</c:v>
                </c:pt>
                <c:pt idx="3">
                  <c:v>0.33</c:v>
                </c:pt>
              </c:numCache>
            </c:numRef>
          </c:val>
          <c:smooth val="0"/>
        </c:ser>
        <c:ser>
          <c:idx val="6"/>
          <c:order val="5"/>
          <c:tx>
            <c:strRef>
              <c:f>'Датасат 2'!$B$11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'Датасат 2'!$G$11:$J$11</c:f>
              <c:numCache>
                <c:formatCode>General</c:formatCode>
                <c:ptCount val="4"/>
                <c:pt idx="0">
                  <c:v>0.36780000000000002</c:v>
                </c:pt>
                <c:pt idx="1">
                  <c:v>0.37559999999999999</c:v>
                </c:pt>
                <c:pt idx="2">
                  <c:v>0.38100000000000001</c:v>
                </c:pt>
                <c:pt idx="3">
                  <c:v>0.37940000000000007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770760"/>
        <c:axId val="406768016"/>
      </c:lineChart>
      <c:catAx>
        <c:axId val="406770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6768016"/>
        <c:crosses val="autoZero"/>
        <c:auto val="1"/>
        <c:lblAlgn val="ctr"/>
        <c:lblOffset val="100"/>
        <c:noMultiLvlLbl val="0"/>
      </c:catAx>
      <c:valAx>
        <c:axId val="406768016"/>
        <c:scaling>
          <c:orientation val="minMax"/>
          <c:min val="0.29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6770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220980</xdr:colOff>
      <xdr:row>1</xdr:row>
      <xdr:rowOff>95250</xdr:rowOff>
    </xdr:from>
    <xdr:to>
      <xdr:col>26</xdr:col>
      <xdr:colOff>335280</xdr:colOff>
      <xdr:row>15</xdr:row>
      <xdr:rowOff>121920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274320</xdr:colOff>
      <xdr:row>15</xdr:row>
      <xdr:rowOff>175260</xdr:rowOff>
    </xdr:from>
    <xdr:to>
      <xdr:col>26</xdr:col>
      <xdr:colOff>358140</xdr:colOff>
      <xdr:row>26</xdr:row>
      <xdr:rowOff>144780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396240</xdr:colOff>
      <xdr:row>15</xdr:row>
      <xdr:rowOff>167640</xdr:rowOff>
    </xdr:from>
    <xdr:to>
      <xdr:col>39</xdr:col>
      <xdr:colOff>175260</xdr:colOff>
      <xdr:row>27</xdr:row>
      <xdr:rowOff>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342900</xdr:colOff>
      <xdr:row>1</xdr:row>
      <xdr:rowOff>99060</xdr:rowOff>
    </xdr:from>
    <xdr:to>
      <xdr:col>39</xdr:col>
      <xdr:colOff>152400</xdr:colOff>
      <xdr:row>15</xdr:row>
      <xdr:rowOff>152400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7"/>
  <sheetViews>
    <sheetView tabSelected="1" topLeftCell="K1" zoomScaleNormal="100" workbookViewId="0">
      <selection activeCell="AO6" sqref="AO6"/>
    </sheetView>
  </sheetViews>
  <sheetFormatPr defaultColWidth="8.5546875" defaultRowHeight="13.2" x14ac:dyDescent="0.25"/>
  <cols>
    <col min="1" max="1" width="9.44140625" customWidth="1"/>
    <col min="2" max="2" width="15.88671875" customWidth="1"/>
    <col min="3" max="3" width="12.21875" customWidth="1"/>
    <col min="4" max="4" width="13.6640625" customWidth="1"/>
    <col min="5" max="5" width="11.21875" customWidth="1"/>
    <col min="6" max="6" width="9.44140625" customWidth="1"/>
    <col min="14" max="14" width="17.88671875" customWidth="1"/>
  </cols>
  <sheetData>
    <row r="1" spans="1:41" ht="15.6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41" ht="12.75" customHeight="1" x14ac:dyDescent="0.3">
      <c r="A2" s="3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1:41" ht="109.2" x14ac:dyDescent="0.3">
      <c r="A3" s="3"/>
      <c r="B3" s="5"/>
      <c r="C3" s="6" t="s">
        <v>1</v>
      </c>
      <c r="D3" s="6" t="s">
        <v>2</v>
      </c>
      <c r="E3" s="7"/>
      <c r="F3" s="6" t="s">
        <v>3</v>
      </c>
      <c r="G3" s="6" t="s">
        <v>4</v>
      </c>
      <c r="H3" s="6" t="s">
        <v>5</v>
      </c>
      <c r="I3" s="4" t="s">
        <v>6</v>
      </c>
      <c r="J3" s="4" t="s">
        <v>7</v>
      </c>
      <c r="K3" s="7"/>
      <c r="L3" s="3" t="s">
        <v>8</v>
      </c>
      <c r="N3" s="8" t="s">
        <v>9</v>
      </c>
      <c r="AO3">
        <v>1</v>
      </c>
    </row>
    <row r="4" spans="1:41" ht="15.6" x14ac:dyDescent="0.3">
      <c r="A4" s="3"/>
      <c r="B4" s="5" t="s">
        <v>10</v>
      </c>
      <c r="C4" s="6">
        <v>0.35399999999999998</v>
      </c>
      <c r="D4" s="6">
        <v>0.35699999999999998</v>
      </c>
      <c r="E4" s="7"/>
      <c r="F4" s="9">
        <v>0.39200000000000002</v>
      </c>
      <c r="G4" s="6">
        <v>0.379</v>
      </c>
      <c r="H4" s="7">
        <v>0.40300000000000002</v>
      </c>
      <c r="I4" s="7">
        <v>0.40600000000000003</v>
      </c>
      <c r="J4" s="10">
        <v>0.435</v>
      </c>
      <c r="K4" s="7"/>
      <c r="L4" s="3">
        <f>AVERAGE(C4:K4)</f>
        <v>0.3894285714285714</v>
      </c>
      <c r="N4" s="1">
        <v>0.44500000000000001</v>
      </c>
    </row>
    <row r="5" spans="1:41" ht="31.2" x14ac:dyDescent="0.3">
      <c r="A5" s="3"/>
      <c r="B5" s="5" t="s">
        <v>11</v>
      </c>
      <c r="C5" s="6">
        <v>0.36399999999999999</v>
      </c>
      <c r="D5" s="6">
        <v>0.38100000000000001</v>
      </c>
      <c r="E5" s="7"/>
      <c r="F5" s="9">
        <v>0.38800000000000001</v>
      </c>
      <c r="G5" s="11">
        <v>0.40799999999999997</v>
      </c>
      <c r="H5" s="7">
        <v>0.40400000000000003</v>
      </c>
      <c r="I5" s="7">
        <v>0.36799999999999999</v>
      </c>
      <c r="J5" s="7">
        <v>0.39</v>
      </c>
      <c r="K5" s="7"/>
      <c r="L5" s="3">
        <f>AVERAGE(C5:K5)</f>
        <v>0.38614285714285712</v>
      </c>
      <c r="N5" s="1"/>
    </row>
    <row r="6" spans="1:41" ht="15.6" x14ac:dyDescent="0.3">
      <c r="A6" s="3"/>
      <c r="B6" s="5" t="s">
        <v>12</v>
      </c>
      <c r="C6" s="6">
        <v>0.29899999999999999</v>
      </c>
      <c r="D6" s="6">
        <v>0.39200000000000002</v>
      </c>
      <c r="E6" s="7"/>
      <c r="F6" s="9">
        <v>0.375</v>
      </c>
      <c r="G6" s="6">
        <v>0.39100000000000001</v>
      </c>
      <c r="H6" s="7">
        <v>0.39300000000000002</v>
      </c>
      <c r="I6" s="10">
        <v>0.42</v>
      </c>
      <c r="J6" s="7">
        <v>0.41799999999999998</v>
      </c>
      <c r="K6" s="7"/>
      <c r="L6" s="3">
        <f>AVERAGE(C6:K6)</f>
        <v>0.38400000000000001</v>
      </c>
      <c r="N6" s="1"/>
    </row>
    <row r="7" spans="1:41" ht="15.6" x14ac:dyDescent="0.3">
      <c r="A7" s="3"/>
      <c r="B7" s="5" t="s">
        <v>13</v>
      </c>
      <c r="C7" s="11">
        <v>0.434</v>
      </c>
      <c r="D7" s="6">
        <v>0.36499999999999999</v>
      </c>
      <c r="E7" s="7"/>
      <c r="F7" s="9">
        <v>0.375</v>
      </c>
      <c r="G7" s="6">
        <v>0.38100000000000001</v>
      </c>
      <c r="H7" s="7">
        <v>0.39800000000000002</v>
      </c>
      <c r="I7" s="7">
        <v>0.42799999999999999</v>
      </c>
      <c r="J7" s="7">
        <v>0.43</v>
      </c>
      <c r="K7" s="7"/>
      <c r="L7" s="3">
        <f>AVERAGE(C7:K7)</f>
        <v>0.40157142857142858</v>
      </c>
      <c r="N7" s="1"/>
    </row>
    <row r="8" spans="1:41" ht="15.6" x14ac:dyDescent="0.3">
      <c r="A8" s="3"/>
      <c r="B8" s="5" t="s">
        <v>14</v>
      </c>
      <c r="C8" s="6">
        <v>0.33200000000000002</v>
      </c>
      <c r="D8" s="6">
        <v>0.36499999999999999</v>
      </c>
      <c r="E8" s="7"/>
      <c r="F8" s="9">
        <v>0.29099999999999998</v>
      </c>
      <c r="G8" s="6">
        <v>0.313</v>
      </c>
      <c r="H8" s="7">
        <v>0.316</v>
      </c>
      <c r="I8" s="7">
        <v>0.318</v>
      </c>
      <c r="J8" s="7">
        <v>0.33800000000000002</v>
      </c>
      <c r="K8" s="7"/>
      <c r="L8" s="3">
        <f>AVERAGE(C8:K8)</f>
        <v>0.32471428571428573</v>
      </c>
      <c r="N8" s="8">
        <v>0.33200000000000002</v>
      </c>
    </row>
    <row r="9" spans="1:41" ht="15.6" x14ac:dyDescent="0.3">
      <c r="A9" s="3"/>
      <c r="B9" s="5"/>
      <c r="C9" s="6"/>
      <c r="D9" s="6"/>
      <c r="E9" s="7"/>
      <c r="F9" s="9"/>
      <c r="G9" s="6"/>
      <c r="H9" s="7"/>
      <c r="I9" s="7"/>
      <c r="J9" s="7"/>
      <c r="K9" s="7"/>
      <c r="L9" s="3"/>
      <c r="N9" s="12"/>
    </row>
    <row r="10" spans="1:41" ht="15.6" x14ac:dyDescent="0.3">
      <c r="A10" s="3"/>
      <c r="B10" s="5" t="s">
        <v>15</v>
      </c>
      <c r="C10" s="6"/>
      <c r="D10" s="6"/>
      <c r="E10" s="7"/>
      <c r="F10" s="9"/>
      <c r="G10" s="6"/>
      <c r="H10" s="7"/>
      <c r="I10" s="7"/>
      <c r="J10" s="7"/>
      <c r="K10" s="7"/>
      <c r="L10" s="3"/>
      <c r="N10" s="12"/>
    </row>
    <row r="11" spans="1:41" ht="15.6" x14ac:dyDescent="0.3">
      <c r="A11" s="3"/>
      <c r="B11" s="3" t="s">
        <v>8</v>
      </c>
      <c r="C11" s="3">
        <f t="shared" ref="C11:J11" si="0">AVERAGE(C4:C8)</f>
        <v>0.35659999999999997</v>
      </c>
      <c r="D11" s="3">
        <f t="shared" si="0"/>
        <v>0.372</v>
      </c>
      <c r="E11" s="3" t="e">
        <f t="shared" si="0"/>
        <v>#DIV/0!</v>
      </c>
      <c r="F11" s="3">
        <f t="shared" si="0"/>
        <v>0.36419999999999997</v>
      </c>
      <c r="G11" s="3">
        <f t="shared" si="0"/>
        <v>0.37439999999999996</v>
      </c>
      <c r="H11" s="3">
        <f t="shared" si="0"/>
        <v>0.38280000000000008</v>
      </c>
      <c r="I11" s="3">
        <f t="shared" si="0"/>
        <v>0.38800000000000001</v>
      </c>
      <c r="J11" s="3">
        <f t="shared" si="0"/>
        <v>0.40219999999999995</v>
      </c>
      <c r="K11" s="3"/>
      <c r="L11" s="3"/>
    </row>
    <row r="12" spans="1:4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4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4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41" ht="12.75" customHeight="1" x14ac:dyDescent="0.3">
      <c r="A15" s="3"/>
      <c r="B15" s="2" t="s">
        <v>16</v>
      </c>
      <c r="C15" s="2"/>
      <c r="D15" s="2"/>
      <c r="E15" s="2"/>
      <c r="F15" s="2"/>
      <c r="G15" s="2"/>
      <c r="H15" s="2"/>
      <c r="I15" s="2"/>
      <c r="J15" s="2"/>
      <c r="K15" s="2"/>
      <c r="L15" s="3"/>
    </row>
    <row r="16" spans="1:41" ht="109.2" x14ac:dyDescent="0.3">
      <c r="A16" s="3"/>
      <c r="B16" s="5"/>
      <c r="C16" s="6" t="s">
        <v>1</v>
      </c>
      <c r="D16" s="6" t="s">
        <v>2</v>
      </c>
      <c r="E16" s="6" t="s">
        <v>17</v>
      </c>
      <c r="F16" s="6" t="s">
        <v>3</v>
      </c>
      <c r="G16" s="6" t="s">
        <v>4</v>
      </c>
      <c r="H16" s="6" t="s">
        <v>5</v>
      </c>
      <c r="I16" s="4" t="s">
        <v>6</v>
      </c>
      <c r="J16" s="7"/>
      <c r="K16" s="4" t="s">
        <v>8</v>
      </c>
      <c r="L16" s="3"/>
      <c r="M16" s="13" t="s">
        <v>18</v>
      </c>
    </row>
    <row r="17" spans="1:12" ht="15.6" x14ac:dyDescent="0.3">
      <c r="A17" s="3"/>
      <c r="B17" s="5" t="s">
        <v>10</v>
      </c>
      <c r="C17" s="9">
        <v>0.34799999999999998</v>
      </c>
      <c r="D17" s="6"/>
      <c r="E17" s="14">
        <v>0.373</v>
      </c>
      <c r="F17" s="14">
        <v>0.39900000000000002</v>
      </c>
      <c r="G17" s="6">
        <v>0.39900000000000002</v>
      </c>
      <c r="H17" s="11">
        <v>0.40200000000000002</v>
      </c>
      <c r="I17" s="14">
        <v>0.39900000000000002</v>
      </c>
      <c r="J17" s="7"/>
      <c r="K17" s="7">
        <f>AVERAGE(C17:I17)</f>
        <v>0.38666666666666671</v>
      </c>
      <c r="L17" s="3"/>
    </row>
    <row r="18" spans="1:12" ht="31.2" x14ac:dyDescent="0.3">
      <c r="A18" s="3"/>
      <c r="B18" s="5" t="s">
        <v>11</v>
      </c>
      <c r="C18" s="9">
        <v>0.36499999999999999</v>
      </c>
      <c r="D18" s="6"/>
      <c r="E18" s="14">
        <v>0.38100000000000001</v>
      </c>
      <c r="F18" s="14">
        <v>0.39300000000000002</v>
      </c>
      <c r="G18" s="6">
        <v>0.42199999999999999</v>
      </c>
      <c r="H18" s="11">
        <v>0.42299999999999999</v>
      </c>
      <c r="I18" s="14">
        <v>0.40600000000000003</v>
      </c>
      <c r="J18" s="7"/>
      <c r="K18" s="7">
        <f>AVERAGE(C18:I18)</f>
        <v>0.39833333333333337</v>
      </c>
      <c r="L18" s="3"/>
    </row>
    <row r="19" spans="1:12" ht="15.6" x14ac:dyDescent="0.3">
      <c r="A19" s="3"/>
      <c r="B19" s="5" t="s">
        <v>12</v>
      </c>
      <c r="C19" s="9">
        <v>0.315</v>
      </c>
      <c r="D19" s="6"/>
      <c r="E19" s="14">
        <v>0.372</v>
      </c>
      <c r="F19" s="15">
        <v>0.42299999999999999</v>
      </c>
      <c r="G19" s="6">
        <v>0.41699999999999998</v>
      </c>
      <c r="H19" s="6">
        <v>0.41399999999999998</v>
      </c>
      <c r="I19" s="14">
        <v>0.40400000000000003</v>
      </c>
      <c r="J19" s="7"/>
      <c r="K19" s="7">
        <f>AVERAGE(C19:I19)</f>
        <v>0.39083333333333337</v>
      </c>
      <c r="L19" s="3"/>
    </row>
    <row r="20" spans="1:12" ht="15.6" x14ac:dyDescent="0.3">
      <c r="A20" s="3"/>
      <c r="B20" s="5" t="s">
        <v>13</v>
      </c>
      <c r="C20" s="9">
        <v>0.33400000000000002</v>
      </c>
      <c r="D20" s="6"/>
      <c r="E20" s="14">
        <v>0.371</v>
      </c>
      <c r="F20" s="14">
        <v>0.39400000000000002</v>
      </c>
      <c r="G20" s="6">
        <v>0.40300000000000002</v>
      </c>
      <c r="H20" s="11">
        <v>0.41</v>
      </c>
      <c r="I20" s="14">
        <v>0.40200000000000002</v>
      </c>
      <c r="J20" s="7"/>
      <c r="K20" s="7">
        <f>AVERAGE(C20:I20)</f>
        <v>0.38566666666666666</v>
      </c>
      <c r="L20" s="3"/>
    </row>
    <row r="21" spans="1:12" ht="15.6" x14ac:dyDescent="0.3">
      <c r="A21" s="3"/>
      <c r="B21" s="5" t="s">
        <v>14</v>
      </c>
      <c r="C21" s="9">
        <v>0.33800000000000002</v>
      </c>
      <c r="D21" s="6"/>
      <c r="E21" s="14">
        <v>0.29099999999999998</v>
      </c>
      <c r="F21" s="14">
        <v>0.36</v>
      </c>
      <c r="G21" s="6">
        <v>0.36499999999999999</v>
      </c>
      <c r="H21" s="6">
        <v>0.40200000000000002</v>
      </c>
      <c r="I21" s="14">
        <v>0.39</v>
      </c>
      <c r="J21" s="7"/>
      <c r="K21" s="7">
        <f>AVERAGE(C21:I21)</f>
        <v>0.35766666666666674</v>
      </c>
      <c r="L21" s="3"/>
    </row>
    <row r="22" spans="1:12" ht="15.6" x14ac:dyDescent="0.3">
      <c r="A22" s="3"/>
      <c r="B22" s="5"/>
      <c r="C22" s="6"/>
      <c r="D22" s="6"/>
      <c r="E22" s="14"/>
      <c r="F22" s="14"/>
      <c r="G22" s="6"/>
      <c r="H22" s="6"/>
      <c r="I22" s="14"/>
      <c r="J22" s="7"/>
      <c r="K22" s="7"/>
      <c r="L22" s="3"/>
    </row>
    <row r="23" spans="1:12" ht="15.6" x14ac:dyDescent="0.3">
      <c r="A23" s="3"/>
      <c r="B23" s="5" t="s">
        <v>15</v>
      </c>
      <c r="C23" s="6"/>
      <c r="D23" s="6"/>
      <c r="E23" s="14"/>
      <c r="F23" s="14"/>
      <c r="G23" s="6"/>
      <c r="H23" s="6"/>
      <c r="I23" s="14"/>
      <c r="J23" s="7"/>
      <c r="K23" s="7"/>
      <c r="L23" s="3"/>
    </row>
    <row r="24" spans="1:12" ht="15.6" x14ac:dyDescent="0.3">
      <c r="A24" s="3"/>
      <c r="B24" s="16" t="s">
        <v>19</v>
      </c>
      <c r="C24" s="7">
        <f t="shared" ref="C24:I24" si="1">AVERAGE(C17:C21)</f>
        <v>0.34</v>
      </c>
      <c r="D24" s="7" t="e">
        <f t="shared" si="1"/>
        <v>#DIV/0!</v>
      </c>
      <c r="E24" s="7">
        <f t="shared" si="1"/>
        <v>0.35759999999999997</v>
      </c>
      <c r="F24" s="7">
        <f t="shared" si="1"/>
        <v>0.39379999999999998</v>
      </c>
      <c r="G24" s="7">
        <f t="shared" si="1"/>
        <v>0.40120000000000006</v>
      </c>
      <c r="H24" s="7">
        <f t="shared" si="1"/>
        <v>0.41019999999999995</v>
      </c>
      <c r="I24" s="7">
        <f t="shared" si="1"/>
        <v>0.40020000000000006</v>
      </c>
      <c r="J24" s="7"/>
      <c r="K24" s="7"/>
      <c r="L24" s="3"/>
    </row>
    <row r="25" spans="1:12" ht="15.6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5.6" x14ac:dyDescent="0.3">
      <c r="A26" s="3"/>
      <c r="B26" s="3"/>
      <c r="C26" s="17"/>
      <c r="E26" s="3"/>
      <c r="F26" s="3"/>
      <c r="G26" s="3"/>
      <c r="H26" s="3"/>
      <c r="I26" s="3"/>
      <c r="J26" s="3"/>
      <c r="K26" s="3"/>
      <c r="L26" s="3"/>
    </row>
    <row r="27" spans="1:12" ht="15.6" x14ac:dyDescent="0.3">
      <c r="A27" s="3"/>
      <c r="B27" s="3"/>
      <c r="D27" s="3"/>
      <c r="E27" s="3"/>
      <c r="F27" s="3"/>
      <c r="G27" s="3"/>
      <c r="H27" s="3"/>
      <c r="I27" s="3"/>
      <c r="J27" s="3"/>
      <c r="K27" s="3"/>
      <c r="L27" s="3"/>
    </row>
  </sheetData>
  <mergeCells count="3">
    <mergeCell ref="B2:K2"/>
    <mergeCell ref="N4:N7"/>
    <mergeCell ref="B15:K15"/>
  </mergeCells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Normal="100" workbookViewId="0">
      <selection activeCell="L20" sqref="L20"/>
    </sheetView>
  </sheetViews>
  <sheetFormatPr defaultColWidth="8.5546875" defaultRowHeight="13.2" x14ac:dyDescent="0.25"/>
  <cols>
    <col min="2" max="2" width="17.33203125" customWidth="1"/>
    <col min="3" max="14" width="10.77734375" customWidth="1"/>
    <col min="16" max="16" width="22.77734375" bestFit="1" customWidth="1"/>
  </cols>
  <sheetData>
    <row r="1" spans="1:16" ht="15.6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6" ht="15" customHeight="1" x14ac:dyDescent="0.3">
      <c r="A2" s="3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1:16" ht="93.6" x14ac:dyDescent="0.3">
      <c r="A3" s="3"/>
      <c r="B3" s="5"/>
      <c r="C3" s="6" t="s">
        <v>1</v>
      </c>
      <c r="D3" s="6" t="s">
        <v>2</v>
      </c>
      <c r="E3" s="7"/>
      <c r="F3" s="6" t="s">
        <v>3</v>
      </c>
      <c r="G3" s="6" t="s">
        <v>4</v>
      </c>
      <c r="H3" s="6" t="s">
        <v>5</v>
      </c>
      <c r="I3" s="4" t="s">
        <v>6</v>
      </c>
      <c r="J3" s="4" t="s">
        <v>7</v>
      </c>
      <c r="K3" s="7"/>
      <c r="L3" s="3" t="s">
        <v>8</v>
      </c>
      <c r="N3" s="8" t="s">
        <v>9</v>
      </c>
      <c r="P3" t="s">
        <v>20</v>
      </c>
    </row>
    <row r="4" spans="1:16" ht="15.6" x14ac:dyDescent="0.3">
      <c r="A4" s="3"/>
      <c r="B4" s="5" t="s">
        <v>10</v>
      </c>
      <c r="C4" s="6">
        <v>0.38500000000000001</v>
      </c>
      <c r="D4" s="6"/>
      <c r="E4" s="7"/>
      <c r="F4" s="9"/>
      <c r="G4" s="6">
        <v>0.39800000000000002</v>
      </c>
      <c r="H4" s="7">
        <v>0.41599999999999998</v>
      </c>
      <c r="I4" s="10">
        <v>0.42799999999999999</v>
      </c>
      <c r="J4" s="7">
        <v>0.41399999999999998</v>
      </c>
      <c r="K4" s="7"/>
      <c r="L4" s="18">
        <f>AVERAGE(C4:K4)</f>
        <v>0.40820000000000001</v>
      </c>
      <c r="N4" s="19">
        <v>0.42199999999999999</v>
      </c>
      <c r="P4" t="s">
        <v>21</v>
      </c>
    </row>
    <row r="5" spans="1:16" ht="31.2" x14ac:dyDescent="0.3">
      <c r="A5" s="3"/>
      <c r="B5" s="5" t="s">
        <v>11</v>
      </c>
      <c r="C5" s="6">
        <v>0.38100000000000001</v>
      </c>
      <c r="D5" s="6"/>
      <c r="E5" s="7"/>
      <c r="F5" s="9"/>
      <c r="G5" s="6">
        <v>0.40300000000000002</v>
      </c>
      <c r="H5" s="10">
        <v>0.42</v>
      </c>
      <c r="I5" s="7">
        <v>0.375</v>
      </c>
      <c r="J5" s="7">
        <v>0.38600000000000001</v>
      </c>
      <c r="K5" s="7"/>
      <c r="L5" s="3">
        <f>AVERAGE(C5:K5)</f>
        <v>0.39299999999999996</v>
      </c>
      <c r="N5" s="19"/>
      <c r="P5" t="s">
        <v>22</v>
      </c>
    </row>
    <row r="6" spans="1:16" ht="15.6" x14ac:dyDescent="0.3">
      <c r="A6" s="3"/>
      <c r="B6" s="5" t="s">
        <v>12</v>
      </c>
      <c r="C6" s="6">
        <v>0.36599999999999999</v>
      </c>
      <c r="D6" s="6"/>
      <c r="E6" s="7"/>
      <c r="F6" s="9"/>
      <c r="G6" s="6">
        <v>0.37</v>
      </c>
      <c r="H6" s="10">
        <v>0.374</v>
      </c>
      <c r="I6" s="10">
        <v>0.374</v>
      </c>
      <c r="J6" s="7">
        <v>0.373</v>
      </c>
      <c r="K6" s="7"/>
      <c r="L6" s="3">
        <f>AVERAGE(C6:K6)</f>
        <v>0.37140000000000001</v>
      </c>
      <c r="N6" s="19"/>
    </row>
    <row r="7" spans="1:16" ht="15.6" x14ac:dyDescent="0.3">
      <c r="A7" s="3"/>
      <c r="B7" s="5" t="s">
        <v>13</v>
      </c>
      <c r="C7" s="11">
        <v>0.41899999999999998</v>
      </c>
      <c r="D7" s="6"/>
      <c r="E7" s="7"/>
      <c r="F7" s="9"/>
      <c r="G7" s="6">
        <v>0.376</v>
      </c>
      <c r="H7" s="7">
        <v>0.377</v>
      </c>
      <c r="I7" s="7">
        <v>0.41</v>
      </c>
      <c r="J7" s="7">
        <v>0.39400000000000002</v>
      </c>
      <c r="K7" s="7"/>
      <c r="L7" s="3">
        <f>AVERAGE(C7:K7)</f>
        <v>0.3952</v>
      </c>
      <c r="N7" s="19"/>
    </row>
    <row r="8" spans="1:16" ht="15.6" x14ac:dyDescent="0.3">
      <c r="A8" s="3"/>
      <c r="B8" s="5" t="s">
        <v>14</v>
      </c>
      <c r="C8" s="6">
        <v>0.33200000000000002</v>
      </c>
      <c r="D8" s="6"/>
      <c r="E8" s="7"/>
      <c r="F8" s="9"/>
      <c r="G8" s="6">
        <v>0.29199999999999998</v>
      </c>
      <c r="H8" s="7">
        <v>0.29099999999999998</v>
      </c>
      <c r="I8" s="7">
        <v>0.318</v>
      </c>
      <c r="J8" s="7">
        <v>0.33</v>
      </c>
      <c r="K8" s="7"/>
      <c r="L8" s="3">
        <f>AVERAGE(C8:K8)</f>
        <v>0.31260000000000004</v>
      </c>
      <c r="N8" s="8">
        <v>0.35899999999999999</v>
      </c>
    </row>
    <row r="9" spans="1:16" ht="15.6" x14ac:dyDescent="0.3">
      <c r="A9" s="3"/>
      <c r="B9" s="5"/>
      <c r="C9" s="6"/>
      <c r="D9" s="6"/>
      <c r="E9" s="7"/>
      <c r="F9" s="9"/>
      <c r="G9" s="6"/>
      <c r="H9" s="7"/>
      <c r="I9" s="7"/>
      <c r="J9" s="7"/>
      <c r="K9" s="7"/>
      <c r="L9" s="3"/>
      <c r="N9" s="12"/>
    </row>
    <row r="10" spans="1:16" ht="15.6" x14ac:dyDescent="0.3">
      <c r="A10" s="3"/>
      <c r="B10" s="5" t="s">
        <v>15</v>
      </c>
      <c r="C10" s="6"/>
      <c r="D10" s="6"/>
      <c r="E10" s="7"/>
      <c r="F10" s="9"/>
      <c r="G10" s="6"/>
      <c r="H10" s="7"/>
      <c r="I10" s="7"/>
      <c r="J10" s="7"/>
      <c r="K10" s="7"/>
      <c r="L10" s="3"/>
      <c r="N10" s="12"/>
    </row>
    <row r="11" spans="1:16" ht="15.6" x14ac:dyDescent="0.3">
      <c r="A11" s="3"/>
      <c r="B11" s="3" t="s">
        <v>8</v>
      </c>
      <c r="C11" s="3">
        <f t="shared" ref="C11:J11" si="0">AVERAGE(C4:C8)</f>
        <v>0.37660000000000005</v>
      </c>
      <c r="D11" s="3" t="e">
        <f t="shared" si="0"/>
        <v>#DIV/0!</v>
      </c>
      <c r="E11" s="3" t="e">
        <f t="shared" si="0"/>
        <v>#DIV/0!</v>
      </c>
      <c r="F11" s="3" t="e">
        <f t="shared" si="0"/>
        <v>#DIV/0!</v>
      </c>
      <c r="G11" s="3">
        <f t="shared" si="0"/>
        <v>0.36780000000000002</v>
      </c>
      <c r="H11" s="3">
        <f t="shared" si="0"/>
        <v>0.37559999999999999</v>
      </c>
      <c r="I11" s="3">
        <f t="shared" si="0"/>
        <v>0.38100000000000001</v>
      </c>
      <c r="J11" s="3">
        <f t="shared" si="0"/>
        <v>0.37940000000000007</v>
      </c>
      <c r="K11" s="3"/>
      <c r="L11" s="3"/>
    </row>
    <row r="12" spans="1:16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6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6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6" ht="15" customHeight="1" x14ac:dyDescent="0.3">
      <c r="A15" s="3"/>
      <c r="B15" s="2" t="s">
        <v>16</v>
      </c>
      <c r="C15" s="2"/>
      <c r="D15" s="2"/>
      <c r="E15" s="2"/>
      <c r="F15" s="2"/>
      <c r="G15" s="2"/>
      <c r="H15" s="2"/>
      <c r="I15" s="2"/>
      <c r="J15" s="2"/>
      <c r="K15" s="2"/>
      <c r="L15" s="3"/>
    </row>
    <row r="16" spans="1:16" ht="93.6" x14ac:dyDescent="0.3">
      <c r="A16" s="3"/>
      <c r="B16" s="5"/>
      <c r="C16" s="6" t="s">
        <v>1</v>
      </c>
      <c r="D16" s="6" t="s">
        <v>2</v>
      </c>
      <c r="E16" s="6" t="s">
        <v>17</v>
      </c>
      <c r="F16" s="6" t="s">
        <v>3</v>
      </c>
      <c r="G16" s="6" t="s">
        <v>4</v>
      </c>
      <c r="H16" s="6" t="s">
        <v>5</v>
      </c>
      <c r="I16" s="4" t="s">
        <v>6</v>
      </c>
      <c r="J16" s="7"/>
      <c r="K16" s="4" t="s">
        <v>8</v>
      </c>
      <c r="L16" s="3"/>
      <c r="M16" s="13" t="s">
        <v>18</v>
      </c>
    </row>
    <row r="17" spans="1:12" ht="15.6" x14ac:dyDescent="0.3">
      <c r="A17" s="3"/>
      <c r="B17" s="5" t="s">
        <v>10</v>
      </c>
      <c r="C17" s="9">
        <v>0.33400000000000002</v>
      </c>
      <c r="D17" s="6"/>
      <c r="E17" s="14">
        <v>0.373</v>
      </c>
      <c r="F17" s="14">
        <v>0.40899999999999997</v>
      </c>
      <c r="G17" s="11">
        <v>0.41599999999999998</v>
      </c>
      <c r="H17" s="6">
        <v>0.39100000000000001</v>
      </c>
      <c r="I17" s="14">
        <v>0.39400000000000002</v>
      </c>
      <c r="J17" s="7"/>
      <c r="K17" s="7"/>
      <c r="L17" s="3"/>
    </row>
    <row r="18" spans="1:12" ht="31.2" x14ac:dyDescent="0.3">
      <c r="A18" s="3"/>
      <c r="B18" s="5" t="s">
        <v>11</v>
      </c>
      <c r="C18" s="9">
        <v>0.35599999999999998</v>
      </c>
      <c r="D18" s="6"/>
      <c r="E18" s="14">
        <v>0.36199999999999999</v>
      </c>
      <c r="F18" s="14">
        <v>0.40200000000000002</v>
      </c>
      <c r="G18" s="11">
        <v>0.41699999999999998</v>
      </c>
      <c r="H18" s="6">
        <v>0.40799999999999997</v>
      </c>
      <c r="I18" s="14">
        <v>0.39600000000000002</v>
      </c>
      <c r="J18" s="7"/>
      <c r="K18" s="7"/>
      <c r="L18" s="3"/>
    </row>
    <row r="19" spans="1:12" ht="15.6" x14ac:dyDescent="0.3">
      <c r="A19" s="3"/>
      <c r="B19" s="5" t="s">
        <v>12</v>
      </c>
      <c r="C19" s="9">
        <v>0.377</v>
      </c>
      <c r="D19" s="6"/>
      <c r="E19" s="14">
        <v>0.36499999999999999</v>
      </c>
      <c r="F19" s="14">
        <v>0.39200000000000002</v>
      </c>
      <c r="G19" s="11">
        <v>0.39600000000000002</v>
      </c>
      <c r="H19" s="6">
        <v>0.39500000000000002</v>
      </c>
      <c r="I19" s="14">
        <v>0.39</v>
      </c>
      <c r="J19" s="7"/>
      <c r="K19" s="7"/>
      <c r="L19" s="3"/>
    </row>
    <row r="20" spans="1:12" ht="15.6" x14ac:dyDescent="0.3">
      <c r="A20" s="3"/>
      <c r="B20" s="5" t="s">
        <v>13</v>
      </c>
      <c r="C20" s="9">
        <v>0.33200000000000002</v>
      </c>
      <c r="D20" s="6"/>
      <c r="E20" s="14">
        <v>0.35199999999999998</v>
      </c>
      <c r="F20" s="14">
        <v>0.40600000000000003</v>
      </c>
      <c r="G20" s="11">
        <v>0.41</v>
      </c>
      <c r="H20" s="6">
        <v>0.39900000000000002</v>
      </c>
      <c r="I20" s="14">
        <v>0.40699999999999997</v>
      </c>
      <c r="J20" s="7"/>
      <c r="K20" s="7"/>
      <c r="L20" s="3"/>
    </row>
    <row r="21" spans="1:12" ht="15.6" x14ac:dyDescent="0.3">
      <c r="A21" s="3"/>
      <c r="B21" s="5" t="s">
        <v>14</v>
      </c>
      <c r="C21" s="9">
        <v>0.34599999999999997</v>
      </c>
      <c r="D21" s="6"/>
      <c r="E21" s="14">
        <v>0.309</v>
      </c>
      <c r="F21" s="14">
        <v>0.38500000000000001</v>
      </c>
      <c r="G21" s="6">
        <v>0.39800000000000002</v>
      </c>
      <c r="H21" s="11">
        <v>0.40699999999999997</v>
      </c>
      <c r="I21" s="14">
        <v>0.39300000000000002</v>
      </c>
      <c r="J21" s="7"/>
      <c r="K21" s="7"/>
      <c r="L21" s="3"/>
    </row>
    <row r="22" spans="1:12" ht="15.6" x14ac:dyDescent="0.3">
      <c r="A22" s="3"/>
      <c r="B22" s="5"/>
      <c r="C22" s="6"/>
      <c r="D22" s="6"/>
      <c r="E22" s="14"/>
      <c r="F22" s="14"/>
      <c r="G22" s="6"/>
      <c r="H22" s="6"/>
      <c r="I22" s="14"/>
      <c r="J22" s="7"/>
      <c r="K22" s="7"/>
      <c r="L22" s="3"/>
    </row>
    <row r="23" spans="1:12" ht="15.6" x14ac:dyDescent="0.3">
      <c r="A23" s="3"/>
      <c r="B23" s="5" t="s">
        <v>15</v>
      </c>
      <c r="C23" s="6"/>
      <c r="D23" s="6"/>
      <c r="E23" s="14"/>
      <c r="F23" s="14"/>
      <c r="G23" s="6"/>
      <c r="H23" s="6"/>
      <c r="I23" s="14"/>
      <c r="J23" s="7"/>
      <c r="K23" s="7"/>
      <c r="L23" s="3"/>
    </row>
    <row r="24" spans="1:12" ht="15.6" x14ac:dyDescent="0.3">
      <c r="A24" s="3"/>
      <c r="B24" s="16" t="s">
        <v>19</v>
      </c>
      <c r="C24" s="7">
        <f t="shared" ref="C24:I24" si="1">AVERAGE(C17:C21)</f>
        <v>0.34900000000000003</v>
      </c>
      <c r="D24" s="7" t="e">
        <f t="shared" si="1"/>
        <v>#DIV/0!</v>
      </c>
      <c r="E24" s="7">
        <f t="shared" si="1"/>
        <v>0.35219999999999996</v>
      </c>
      <c r="F24" s="7">
        <f t="shared" si="1"/>
        <v>0.39879999999999999</v>
      </c>
      <c r="G24" s="7">
        <f t="shared" si="1"/>
        <v>0.40739999999999998</v>
      </c>
      <c r="H24" s="7">
        <f t="shared" si="1"/>
        <v>0.4</v>
      </c>
      <c r="I24" s="7">
        <f t="shared" si="1"/>
        <v>0.39600000000000002</v>
      </c>
      <c r="J24" s="7"/>
      <c r="K24" s="7"/>
      <c r="L24" s="3"/>
    </row>
    <row r="25" spans="1:12" ht="15.6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5.6" x14ac:dyDescent="0.3">
      <c r="A26" s="3"/>
      <c r="B26" s="3"/>
      <c r="C26" s="17"/>
      <c r="D26" s="3"/>
      <c r="E26" s="3"/>
      <c r="F26" s="3"/>
      <c r="G26" s="3"/>
      <c r="H26" s="3"/>
      <c r="I26" s="3"/>
      <c r="J26" s="3"/>
      <c r="K26" s="3"/>
      <c r="L26" s="3"/>
    </row>
    <row r="27" spans="1:12" ht="15.6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</sheetData>
  <mergeCells count="3">
    <mergeCell ref="B2:K2"/>
    <mergeCell ref="N4:N7"/>
    <mergeCell ref="B15:K15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909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Датасет 1</vt:lpstr>
      <vt:lpstr>Датасат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Admin</cp:lastModifiedBy>
  <cp:revision>6</cp:revision>
  <dcterms:created xsi:type="dcterms:W3CDTF">2025-08-11T00:08:29Z</dcterms:created>
  <dcterms:modified xsi:type="dcterms:W3CDTF">2025-08-28T14:01:18Z</dcterms:modified>
  <dc:language>ru-RU</dc:language>
</cp:coreProperties>
</file>